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ba Fims\Desktop\API\"/>
    </mc:Choice>
  </mc:AlternateContent>
  <xr:revisionPtr revIDLastSave="0" documentId="13_ncr:1_{422F65BE-5962-441C-856F-9F0A0ACA3E27}" xr6:coauthVersionLast="47" xr6:coauthVersionMax="47" xr10:uidLastSave="{00000000-0000-0000-0000-000000000000}"/>
  <bookViews>
    <workbookView xWindow="-120" yWindow="-120" windowWidth="24240" windowHeight="13020" xr2:uid="{A82EBAA7-FFB8-4F25-91DF-EC6105511186}"/>
  </bookViews>
  <sheets>
    <sheet name="Hoja1" sheetId="1" r:id="rId1"/>
  </sheets>
  <functionGroups builtInGroupCount="19"/>
  <definedNames>
    <definedName name="_xlnm._FilterDatabase" localSheetId="0" hidden="1">Hoja1!$W$1:$Y$17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8" i="1" l="1"/>
  <c r="T4" i="1"/>
  <c r="Y2" i="1"/>
  <c r="Y15" i="1"/>
  <c r="Y14" i="1"/>
  <c r="T3" i="1"/>
  <c r="T5" i="1" s="1"/>
  <c r="T6" i="1" s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Y17" i="1" s="1"/>
  <c r="R3" i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I23" i="1"/>
  <c r="I24" i="1"/>
  <c r="I25" i="1"/>
  <c r="I26" i="1"/>
  <c r="I27" i="1"/>
  <c r="I28" i="1"/>
  <c r="I29" i="1"/>
  <c r="I30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9" i="1"/>
  <c r="J10" i="1"/>
  <c r="J11" i="1"/>
  <c r="J12" i="1"/>
  <c r="J13" i="1"/>
  <c r="J14" i="1"/>
  <c r="J15" i="1"/>
  <c r="J6" i="1"/>
  <c r="J7" i="1"/>
  <c r="J8" i="1"/>
  <c r="J2" i="1"/>
  <c r="J3" i="1"/>
  <c r="J4" i="1"/>
  <c r="J5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3" i="1"/>
  <c r="I4" i="1"/>
  <c r="I2" i="1"/>
  <c r="Y7" i="1" l="1"/>
  <c r="Y9" i="1"/>
  <c r="Y12" i="1"/>
  <c r="Y16" i="1"/>
  <c r="Y11" i="1"/>
  <c r="Y3" i="1"/>
  <c r="Y8" i="1"/>
  <c r="Y13" i="1"/>
  <c r="Y10" i="1"/>
  <c r="Y6" i="1"/>
  <c r="Y5" i="1"/>
  <c r="Y4" i="1"/>
</calcChain>
</file>

<file path=xl/sharedStrings.xml><?xml version="1.0" encoding="utf-8"?>
<sst xmlns="http://schemas.openxmlformats.org/spreadsheetml/2006/main" count="222" uniqueCount="42">
  <si>
    <t xml:space="preserve">C.C </t>
  </si>
  <si>
    <t xml:space="preserve">Nombre </t>
  </si>
  <si>
    <t>Fecha De</t>
  </si>
  <si>
    <t xml:space="preserve">Cita </t>
  </si>
  <si>
    <t>Numero</t>
  </si>
  <si>
    <t>Hora</t>
  </si>
  <si>
    <t xml:space="preserve">Pediatria </t>
  </si>
  <si>
    <t>Sr</t>
  </si>
  <si>
    <t>Estimado(a)</t>
  </si>
  <si>
    <t>Mensaje</t>
  </si>
  <si>
    <t xml:space="preserve">Mensaje 2 </t>
  </si>
  <si>
    <t xml:space="preserve"> Recuerde que tiene cita de </t>
  </si>
  <si>
    <t xml:space="preserve"> 23 de enero de 2023</t>
  </si>
  <si>
    <t xml:space="preserve"> 8:30 AM</t>
  </si>
  <si>
    <t>Mensajefinal</t>
  </si>
  <si>
    <t>Angela Garzon</t>
  </si>
  <si>
    <t xml:space="preserve"> 24 de enero de 2023</t>
  </si>
  <si>
    <t>"</t>
  </si>
  <si>
    <t>,</t>
  </si>
  <si>
    <t>Columna1</t>
  </si>
  <si>
    <t>Alejandra</t>
  </si>
  <si>
    <t>Evelyn</t>
  </si>
  <si>
    <t>Luis Eduardo</t>
  </si>
  <si>
    <t>Sol</t>
  </si>
  <si>
    <t>NaNa</t>
  </si>
  <si>
    <t>Tita</t>
  </si>
  <si>
    <t>Jhoana</t>
  </si>
  <si>
    <t xml:space="preserve">Carolina </t>
  </si>
  <si>
    <t>Jaiver</t>
  </si>
  <si>
    <t>Tito</t>
  </si>
  <si>
    <t xml:space="preserve"> Recuerde llegar 40 minutos antes para facturar, responde si o no, confirmando la asistencia</t>
  </si>
  <si>
    <t>Maye</t>
  </si>
  <si>
    <t>Paola</t>
  </si>
  <si>
    <t>Anderson</t>
  </si>
  <si>
    <t>Alfredo</t>
  </si>
  <si>
    <t>Eugenia</t>
  </si>
  <si>
    <t>si</t>
  </si>
  <si>
    <t>no</t>
  </si>
  <si>
    <t>s\tel</t>
  </si>
  <si>
    <t>d</t>
  </si>
  <si>
    <t>S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</si>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</sst>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\ AM/PM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18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Fill="1" applyBorder="1"/>
  </cellXfs>
  <cellStyles count="1">
    <cellStyle name="Normal" xfId="0" builtinId="0"/>
  </cellStyles>
  <dxfs count="5"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164" formatCode="h:mm\ AM/PM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11793</xdr:colOff>
      <xdr:row>0</xdr:row>
      <xdr:rowOff>150862</xdr:rowOff>
    </xdr:from>
    <xdr:to>
      <xdr:col>13</xdr:col>
      <xdr:colOff>33228</xdr:colOff>
      <xdr:row>4</xdr:row>
      <xdr:rowOff>188283</xdr:rowOff>
    </xdr:to>
    <xdr:pic macro="[0]!envioCartera">
      <xdr:nvPicPr>
        <xdr:cNvPr id="4" name="Imagen 3">
          <a:extLst>
            <a:ext uri="{FF2B5EF4-FFF2-40B4-BE49-F238E27FC236}">
              <a16:creationId xmlns:a16="http://schemas.microsoft.com/office/drawing/2014/main" id="{A9E2D311-07CF-7E7A-368E-DF4526873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49322" y="150862"/>
          <a:ext cx="785650" cy="79056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AACCA9-6ADC-49C8-B386-88DB7AFF696A}" name="Tabla3" displayName="Tabla3" ref="A1:K30" totalsRowShown="0">
  <autoFilter ref="A1:K30" xr:uid="{A7AACCA9-6ADC-49C8-B386-88DB7AFF696A}"/>
  <tableColumns count="11">
    <tableColumn id="1" xr3:uid="{17E5D664-B2A4-400A-9684-DE5DB51655A4}" name="C.C "/>
    <tableColumn id="2" xr3:uid="{6F3598F9-AE1E-4414-BC66-9BA7E00333D4}" name="Mensaje"/>
    <tableColumn id="3" xr3:uid="{CED3FAB2-7741-4249-868F-D6648FE8E859}" name="Mensaje 2 "/>
    <tableColumn id="4" xr3:uid="{7FB51683-A59F-436E-AD67-DE2ECA638C35}" name="Sr"/>
    <tableColumn id="5" xr3:uid="{17AF9669-F26F-4CD5-BA53-A634CE67F244}" name="Nombre "/>
    <tableColumn id="6" xr3:uid="{CBE71895-B751-407B-B145-E61F5E2F5E9B}" name="Fecha De"/>
    <tableColumn id="7" xr3:uid="{91945A34-74BD-4E75-8020-AB22C89D02C4}" name="Hora" dataDxfId="4"/>
    <tableColumn id="8" xr3:uid="{969D2BB1-197D-4869-88E4-224DADC886E3}" name="Cita " dataDxfId="3"/>
    <tableColumn id="9" xr3:uid="{CE5825AC-8DA0-4C15-8914-6B900EB87050}" name="Mensajefinal" dataDxfId="2">
      <calculatedColumnFormula>CONCATENATE(O2,D2,E2,B2,H2,F2,G2,C2,Q2,P2)</calculatedColumnFormula>
    </tableColumn>
    <tableColumn id="12" xr3:uid="{8B57FB48-1C5F-46FA-9687-5A42391C9196}" name="Columna1" dataDxfId="1">
      <calculatedColumnFormula>CONCATENATE(O2,N2,Tabla3[[#This Row],[Numero]],Q2,P2)</calculatedColumnFormula>
    </tableColumn>
    <tableColumn id="10" xr3:uid="{80932E8D-C1EF-42A7-90E2-C316C3B6E01A}" name="Nume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EBA6D-40B8-4FE0-90AF-2628C93BD362}">
  <sheetPr codeName="Hoja1"/>
  <dimension ref="A1:Y30"/>
  <sheetViews>
    <sheetView tabSelected="1" topLeftCell="K1" zoomScaleNormal="100" workbookViewId="0">
      <selection activeCell="Y18" sqref="Y18"/>
    </sheetView>
  </sheetViews>
  <sheetFormatPr baseColWidth="10" defaultRowHeight="15" x14ac:dyDescent="0.25"/>
  <cols>
    <col min="2" max="2" width="26.7109375" customWidth="1"/>
    <col min="3" max="3" width="100.7109375" customWidth="1"/>
    <col min="4" max="4" width="17.85546875" customWidth="1"/>
    <col min="5" max="5" width="23.140625" customWidth="1"/>
    <col min="6" max="6" width="23.28515625" customWidth="1"/>
    <col min="7" max="7" width="20" customWidth="1"/>
    <col min="8" max="8" width="21" customWidth="1"/>
    <col min="9" max="9" width="176.42578125" customWidth="1"/>
    <col min="10" max="10" width="41.5703125" customWidth="1"/>
    <col min="11" max="11" width="17.5703125" customWidth="1"/>
    <col min="19" max="19" width="11.42578125" customWidth="1"/>
  </cols>
  <sheetData>
    <row r="1" spans="1:25" x14ac:dyDescent="0.25">
      <c r="A1" t="s">
        <v>0</v>
      </c>
      <c r="B1" t="s">
        <v>9</v>
      </c>
      <c r="C1" t="s">
        <v>10</v>
      </c>
      <c r="D1" t="s">
        <v>7</v>
      </c>
      <c r="E1" t="s">
        <v>1</v>
      </c>
      <c r="F1" t="s">
        <v>2</v>
      </c>
      <c r="G1" t="s">
        <v>5</v>
      </c>
      <c r="H1" t="s">
        <v>3</v>
      </c>
      <c r="I1" t="s">
        <v>14</v>
      </c>
      <c r="J1" t="s">
        <v>19</v>
      </c>
      <c r="K1" t="s">
        <v>4</v>
      </c>
      <c r="S1" t="s">
        <v>40</v>
      </c>
      <c r="W1" t="s">
        <v>38</v>
      </c>
      <c r="X1" t="s">
        <v>39</v>
      </c>
      <c r="Y1" t="s">
        <v>41</v>
      </c>
    </row>
    <row r="2" spans="1:25" x14ac:dyDescent="0.25">
      <c r="A2">
        <v>1069747781</v>
      </c>
      <c r="B2" t="s">
        <v>11</v>
      </c>
      <c r="C2" t="s">
        <v>30</v>
      </c>
      <c r="D2" t="s">
        <v>8</v>
      </c>
      <c r="E2" t="s">
        <v>20</v>
      </c>
      <c r="F2" t="s">
        <v>12</v>
      </c>
      <c r="G2" s="1" t="s">
        <v>13</v>
      </c>
      <c r="H2" s="2" t="s">
        <v>6</v>
      </c>
      <c r="I2" t="str">
        <f t="shared" ref="I2:I22" si="0">CONCATENATE(O2,D2,E2,B2,H2,F2,G2,C2,Q2,P2)</f>
        <v>"Estimado(a)Alejandra Recuerde que tiene cita de Pediatria  23 de enero de 2023 8:30 AM Recuerde llegar 40 minutos antes para facturar, responde si o no, confirmando la asistencia",</v>
      </c>
      <c r="J2" t="str">
        <f>CONCATENATE(O2,N2,Tabla3[[#This Row],[Numero]],Q2,P2)</f>
        <v>"573194892208",</v>
      </c>
      <c r="K2">
        <v>3194892208</v>
      </c>
      <c r="M2" s="6"/>
      <c r="N2">
        <v>57</v>
      </c>
      <c r="O2" t="s">
        <v>17</v>
      </c>
      <c r="P2" t="s">
        <v>18</v>
      </c>
      <c r="Q2" t="s">
        <v>17</v>
      </c>
      <c r="R2">
        <v>1</v>
      </c>
      <c r="S2" s="4">
        <v>3194892208</v>
      </c>
      <c r="T2">
        <v>1</v>
      </c>
      <c r="W2" s="4">
        <v>3194892208</v>
      </c>
      <c r="X2" t="s">
        <v>37</v>
      </c>
      <c r="Y2">
        <f t="shared" ref="Y2:Y17" si="1">+VLOOKUP(W2,$S$2:$T$17,2,0)</f>
        <v>1</v>
      </c>
    </row>
    <row r="3" spans="1:25" x14ac:dyDescent="0.25">
      <c r="B3" t="s">
        <v>11</v>
      </c>
      <c r="C3" t="s">
        <v>30</v>
      </c>
      <c r="D3" t="s">
        <v>8</v>
      </c>
      <c r="E3" t="s">
        <v>15</v>
      </c>
      <c r="F3" t="s">
        <v>16</v>
      </c>
      <c r="G3" s="1" t="s">
        <v>13</v>
      </c>
      <c r="H3" s="2" t="s">
        <v>6</v>
      </c>
      <c r="I3" t="str">
        <f t="shared" si="0"/>
        <v>"Estimado(a)Angela Garzon Recuerde que tiene cita de Pediatria  24 de enero de 2023 8:30 AM Recuerde llegar 40 minutos antes para facturar, responde si o no, confirmando la asistencia",</v>
      </c>
      <c r="J3" t="str">
        <f>CONCATENATE(O3,N3,Tabla3[[#This Row],[Numero]],Q3,P3)</f>
        <v>"573202951873",</v>
      </c>
      <c r="K3">
        <v>3202951873</v>
      </c>
      <c r="M3" s="6"/>
      <c r="N3">
        <v>57</v>
      </c>
      <c r="O3" t="s">
        <v>17</v>
      </c>
      <c r="P3" t="s">
        <v>18</v>
      </c>
      <c r="Q3" t="s">
        <v>17</v>
      </c>
      <c r="R3">
        <f>+R2+1</f>
        <v>2</v>
      </c>
      <c r="S3" s="5">
        <v>3202951873</v>
      </c>
      <c r="T3">
        <f>+T2+1</f>
        <v>2</v>
      </c>
      <c r="W3" s="5">
        <v>3202951873</v>
      </c>
      <c r="X3" t="s">
        <v>36</v>
      </c>
      <c r="Y3">
        <f t="shared" si="1"/>
        <v>2</v>
      </c>
    </row>
    <row r="4" spans="1:25" x14ac:dyDescent="0.25">
      <c r="B4" t="s">
        <v>11</v>
      </c>
      <c r="C4" t="s">
        <v>30</v>
      </c>
      <c r="D4" t="s">
        <v>8</v>
      </c>
      <c r="E4" t="s">
        <v>21</v>
      </c>
      <c r="F4" t="s">
        <v>16</v>
      </c>
      <c r="G4" s="1" t="s">
        <v>13</v>
      </c>
      <c r="H4" s="2" t="s">
        <v>6</v>
      </c>
      <c r="I4" t="str">
        <f t="shared" si="0"/>
        <v>"Estimado(a)Evelyn Recuerde que tiene cita de Pediatria  24 de enero de 2023 8:30 AM Recuerde llegar 40 minutos antes para facturar, responde si o no, confirmando la asistencia",</v>
      </c>
      <c r="J4" t="str">
        <f>CONCATENATE(O4,N4,Tabla3[[#This Row],[Numero]],Q4,P4)</f>
        <v>"573214449402",</v>
      </c>
      <c r="K4">
        <v>3214449402</v>
      </c>
      <c r="M4" s="6"/>
      <c r="N4">
        <v>57</v>
      </c>
      <c r="O4" t="s">
        <v>17</v>
      </c>
      <c r="P4" t="s">
        <v>18</v>
      </c>
      <c r="Q4" t="s">
        <v>17</v>
      </c>
      <c r="R4">
        <f t="shared" ref="R4:T17" si="2">+R3+1</f>
        <v>3</v>
      </c>
      <c r="S4" s="4">
        <v>3214449402</v>
      </c>
      <c r="T4">
        <f t="shared" si="2"/>
        <v>3</v>
      </c>
      <c r="W4" s="4">
        <v>3214449402</v>
      </c>
      <c r="X4" t="s">
        <v>37</v>
      </c>
      <c r="Y4">
        <f t="shared" si="1"/>
        <v>3</v>
      </c>
    </row>
    <row r="5" spans="1:25" x14ac:dyDescent="0.25">
      <c r="B5" t="s">
        <v>11</v>
      </c>
      <c r="C5" t="s">
        <v>30</v>
      </c>
      <c r="D5" t="s">
        <v>8</v>
      </c>
      <c r="E5" t="s">
        <v>22</v>
      </c>
      <c r="F5" t="s">
        <v>16</v>
      </c>
      <c r="G5" s="1" t="s">
        <v>13</v>
      </c>
      <c r="H5" s="2" t="s">
        <v>6</v>
      </c>
      <c r="I5" t="str">
        <f t="shared" si="0"/>
        <v>"Estimado(a)Luis Eduardo Recuerde que tiene cita de Pediatria  24 de enero de 2023 8:30 AM Recuerde llegar 40 minutos antes para facturar, responde si o no, confirmando la asistencia",</v>
      </c>
      <c r="J5" t="str">
        <f>CONCATENATE(O5,N5,Tabla3[[#This Row],[Numero]],Q5,P5)</f>
        <v>"573123454029",</v>
      </c>
      <c r="K5">
        <v>3123454029</v>
      </c>
      <c r="M5" s="6"/>
      <c r="N5">
        <v>57</v>
      </c>
      <c r="O5" t="s">
        <v>17</v>
      </c>
      <c r="P5" t="s">
        <v>18</v>
      </c>
      <c r="Q5" t="s">
        <v>17</v>
      </c>
      <c r="R5">
        <f t="shared" si="2"/>
        <v>4</v>
      </c>
      <c r="S5" s="5">
        <v>3123454029</v>
      </c>
      <c r="T5">
        <f t="shared" si="2"/>
        <v>4</v>
      </c>
      <c r="W5" s="5">
        <v>3123454029</v>
      </c>
      <c r="X5" t="s">
        <v>37</v>
      </c>
      <c r="Y5">
        <f t="shared" si="1"/>
        <v>4</v>
      </c>
    </row>
    <row r="6" spans="1:25" x14ac:dyDescent="0.25">
      <c r="B6" t="s">
        <v>11</v>
      </c>
      <c r="C6" t="s">
        <v>30</v>
      </c>
      <c r="D6" t="s">
        <v>8</v>
      </c>
      <c r="E6" t="s">
        <v>23</v>
      </c>
      <c r="F6" t="s">
        <v>16</v>
      </c>
      <c r="G6" s="1" t="s">
        <v>13</v>
      </c>
      <c r="H6" s="2" t="s">
        <v>6</v>
      </c>
      <c r="I6" t="str">
        <f t="shared" si="0"/>
        <v>"Estimado(a)Sol Recuerde que tiene cita de Pediatria  24 de enero de 2023 8:30 AM Recuerde llegar 40 minutos antes para facturar, responde si o no, confirmando la asistencia",</v>
      </c>
      <c r="J6" t="str">
        <f>CONCATENATE(O6,N6,Tabla3[[#This Row],[Numero]],Q6,P6)</f>
        <v>"573214056248",</v>
      </c>
      <c r="K6">
        <v>3214056248</v>
      </c>
      <c r="N6">
        <v>57</v>
      </c>
      <c r="O6" t="s">
        <v>17</v>
      </c>
      <c r="P6" t="s">
        <v>18</v>
      </c>
      <c r="Q6" t="s">
        <v>17</v>
      </c>
      <c r="R6">
        <f t="shared" si="2"/>
        <v>5</v>
      </c>
      <c r="S6" s="4">
        <v>3214056248</v>
      </c>
      <c r="T6">
        <f t="shared" si="2"/>
        <v>5</v>
      </c>
      <c r="W6" s="4">
        <v>3214056248</v>
      </c>
      <c r="X6" t="s">
        <v>37</v>
      </c>
      <c r="Y6">
        <f t="shared" si="1"/>
        <v>5</v>
      </c>
    </row>
    <row r="7" spans="1:25" x14ac:dyDescent="0.25">
      <c r="B7" t="s">
        <v>11</v>
      </c>
      <c r="C7" t="s">
        <v>30</v>
      </c>
      <c r="D7" t="s">
        <v>8</v>
      </c>
      <c r="E7" t="s">
        <v>24</v>
      </c>
      <c r="F7" t="s">
        <v>16</v>
      </c>
      <c r="G7" s="1" t="s">
        <v>13</v>
      </c>
      <c r="H7" s="2" t="s">
        <v>6</v>
      </c>
      <c r="I7" t="str">
        <f t="shared" si="0"/>
        <v>"Estimado(a)NaNa Recuerde que tiene cita de Pediatria  24 de enero de 2023 8:30 AM Recuerde llegar 40 minutos antes para facturar, responde si o no, confirmando la asistencia",</v>
      </c>
      <c r="J7" t="str">
        <f>CONCATENATE(O7,N7,Tabla3[[#This Row],[Numero]],Q7,P7)</f>
        <v>"573112193953",</v>
      </c>
      <c r="K7">
        <v>3112193953</v>
      </c>
      <c r="N7">
        <v>57</v>
      </c>
      <c r="O7" t="s">
        <v>17</v>
      </c>
      <c r="P7" t="s">
        <v>18</v>
      </c>
      <c r="Q7" t="s">
        <v>17</v>
      </c>
      <c r="R7">
        <f t="shared" si="2"/>
        <v>6</v>
      </c>
      <c r="S7" s="5">
        <v>3112193953</v>
      </c>
      <c r="T7">
        <f t="shared" si="2"/>
        <v>6</v>
      </c>
      <c r="W7" s="5">
        <v>3112193953</v>
      </c>
      <c r="X7" t="s">
        <v>37</v>
      </c>
      <c r="Y7">
        <f t="shared" si="1"/>
        <v>6</v>
      </c>
    </row>
    <row r="8" spans="1:25" x14ac:dyDescent="0.25">
      <c r="B8" t="s">
        <v>11</v>
      </c>
      <c r="C8" t="s">
        <v>30</v>
      </c>
      <c r="D8" t="s">
        <v>8</v>
      </c>
      <c r="E8" t="s">
        <v>25</v>
      </c>
      <c r="F8" t="s">
        <v>16</v>
      </c>
      <c r="G8" s="1" t="s">
        <v>13</v>
      </c>
      <c r="H8" s="2" t="s">
        <v>6</v>
      </c>
      <c r="I8" t="str">
        <f t="shared" si="0"/>
        <v>"Estimado(a)Tita Recuerde que tiene cita de Pediatria  24 de enero de 2023 8:30 AM Recuerde llegar 40 minutos antes para facturar, responde si o no, confirmando la asistencia",</v>
      </c>
      <c r="J8" t="str">
        <f>CONCATENATE(O8,N8,Tabla3[[#This Row],[Numero]],Q8,P8)</f>
        <v>"573115920278",</v>
      </c>
      <c r="K8">
        <v>3115920278</v>
      </c>
      <c r="N8">
        <v>57</v>
      </c>
      <c r="O8" t="s">
        <v>17</v>
      </c>
      <c r="P8" t="s">
        <v>18</v>
      </c>
      <c r="Q8" t="s">
        <v>17</v>
      </c>
      <c r="R8">
        <f t="shared" si="2"/>
        <v>7</v>
      </c>
      <c r="S8" s="4">
        <v>3115920278</v>
      </c>
      <c r="T8">
        <f t="shared" si="2"/>
        <v>7</v>
      </c>
      <c r="W8" s="4">
        <v>3115920278</v>
      </c>
      <c r="X8" t="s">
        <v>37</v>
      </c>
      <c r="Y8">
        <f t="shared" si="1"/>
        <v>7</v>
      </c>
    </row>
    <row r="9" spans="1:25" x14ac:dyDescent="0.25">
      <c r="B9" t="s">
        <v>11</v>
      </c>
      <c r="C9" t="s">
        <v>30</v>
      </c>
      <c r="D9" t="s">
        <v>8</v>
      </c>
      <c r="E9" t="s">
        <v>26</v>
      </c>
      <c r="F9" t="s">
        <v>16</v>
      </c>
      <c r="G9" s="1" t="s">
        <v>13</v>
      </c>
      <c r="H9" s="2" t="s">
        <v>6</v>
      </c>
      <c r="I9" t="str">
        <f t="shared" si="0"/>
        <v>"Estimado(a)Jhoana Recuerde que tiene cita de Pediatria  24 de enero de 2023 8:30 AM Recuerde llegar 40 minutos antes para facturar, responde si o no, confirmando la asistencia",</v>
      </c>
      <c r="J9" t="str">
        <f>CONCATENATE(O9,N9,Tabla3[[#This Row],[Numero]],Q9,P9)</f>
        <v>"573138012460",</v>
      </c>
      <c r="K9">
        <v>3138012460</v>
      </c>
      <c r="N9">
        <v>57</v>
      </c>
      <c r="O9" t="s">
        <v>17</v>
      </c>
      <c r="P9" t="s">
        <v>18</v>
      </c>
      <c r="Q9" t="s">
        <v>17</v>
      </c>
      <c r="R9">
        <f t="shared" si="2"/>
        <v>8</v>
      </c>
      <c r="S9" s="5">
        <v>3138012460</v>
      </c>
      <c r="T9">
        <f t="shared" si="2"/>
        <v>8</v>
      </c>
      <c r="W9" s="5">
        <v>3138012460</v>
      </c>
      <c r="X9" t="s">
        <v>37</v>
      </c>
      <c r="Y9">
        <f t="shared" si="1"/>
        <v>8</v>
      </c>
    </row>
    <row r="10" spans="1:25" x14ac:dyDescent="0.25">
      <c r="B10" t="s">
        <v>11</v>
      </c>
      <c r="C10" t="s">
        <v>30</v>
      </c>
      <c r="D10" t="s">
        <v>8</v>
      </c>
      <c r="E10" t="s">
        <v>27</v>
      </c>
      <c r="F10" t="s">
        <v>16</v>
      </c>
      <c r="G10" s="1" t="s">
        <v>13</v>
      </c>
      <c r="H10" s="2" t="s">
        <v>6</v>
      </c>
      <c r="I10" t="str">
        <f t="shared" si="0"/>
        <v>"Estimado(a)Carolina  Recuerde que tiene cita de Pediatria  24 de enero de 2023 8:30 AM Recuerde llegar 40 minutos antes para facturar, responde si o no, confirmando la asistencia",</v>
      </c>
      <c r="J10" t="str">
        <f>CONCATENATE(O10,N10,Tabla3[[#This Row],[Numero]],Q10,P10)</f>
        <v>"573118375505",</v>
      </c>
      <c r="K10">
        <v>3118375505</v>
      </c>
      <c r="N10">
        <v>57</v>
      </c>
      <c r="O10" t="s">
        <v>17</v>
      </c>
      <c r="P10" t="s">
        <v>18</v>
      </c>
      <c r="Q10" t="s">
        <v>17</v>
      </c>
      <c r="R10">
        <f t="shared" si="2"/>
        <v>9</v>
      </c>
      <c r="S10" s="4">
        <v>3118375505</v>
      </c>
      <c r="T10">
        <f t="shared" si="2"/>
        <v>9</v>
      </c>
      <c r="W10" s="4">
        <v>3118375505</v>
      </c>
      <c r="X10" t="s">
        <v>37</v>
      </c>
      <c r="Y10">
        <f t="shared" si="1"/>
        <v>9</v>
      </c>
    </row>
    <row r="11" spans="1:25" x14ac:dyDescent="0.25">
      <c r="B11" t="s">
        <v>11</v>
      </c>
      <c r="C11" t="s">
        <v>30</v>
      </c>
      <c r="D11" t="s">
        <v>8</v>
      </c>
      <c r="E11" t="s">
        <v>28</v>
      </c>
      <c r="F11" t="s">
        <v>16</v>
      </c>
      <c r="G11" s="1" t="s">
        <v>13</v>
      </c>
      <c r="H11" s="2" t="s">
        <v>6</v>
      </c>
      <c r="I11" t="str">
        <f t="shared" si="0"/>
        <v>"Estimado(a)Jaiver Recuerde que tiene cita de Pediatria  24 de enero de 2023 8:30 AM Recuerde llegar 40 minutos antes para facturar, responde si o no, confirmando la asistencia",</v>
      </c>
      <c r="J11" t="str">
        <f>CONCATENATE(O11,N11,Tabla3[[#This Row],[Numero]],Q11,P11)</f>
        <v>"573114466306",</v>
      </c>
      <c r="K11">
        <v>3114466306</v>
      </c>
      <c r="N11">
        <v>57</v>
      </c>
      <c r="O11" t="s">
        <v>17</v>
      </c>
      <c r="P11" t="s">
        <v>18</v>
      </c>
      <c r="Q11" t="s">
        <v>17</v>
      </c>
      <c r="R11">
        <f t="shared" si="2"/>
        <v>10</v>
      </c>
      <c r="S11" s="5">
        <v>3114466306</v>
      </c>
      <c r="T11">
        <f t="shared" si="2"/>
        <v>10</v>
      </c>
      <c r="W11" s="5">
        <v>3114466306</v>
      </c>
      <c r="X11" t="s">
        <v>37</v>
      </c>
      <c r="Y11">
        <f t="shared" si="1"/>
        <v>10</v>
      </c>
    </row>
    <row r="12" spans="1:25" x14ac:dyDescent="0.25">
      <c r="B12" t="s">
        <v>11</v>
      </c>
      <c r="C12" t="s">
        <v>30</v>
      </c>
      <c r="D12" t="s">
        <v>8</v>
      </c>
      <c r="E12" t="s">
        <v>29</v>
      </c>
      <c r="F12" t="s">
        <v>16</v>
      </c>
      <c r="G12" s="1" t="s">
        <v>13</v>
      </c>
      <c r="H12" s="2" t="s">
        <v>6</v>
      </c>
      <c r="I12" t="str">
        <f t="shared" si="0"/>
        <v>"Estimado(a)Tito Recuerde que tiene cita de Pediatria  24 de enero de 2023 8:30 AM Recuerde llegar 40 minutos antes para facturar, responde si o no, confirmando la asistencia",</v>
      </c>
      <c r="J12" t="str">
        <f>CONCATENATE(O12,N12,Tabla3[[#This Row],[Numero]],Q12,P12)</f>
        <v>"573144194081",</v>
      </c>
      <c r="K12">
        <v>3144194081</v>
      </c>
      <c r="N12">
        <v>57</v>
      </c>
      <c r="O12" t="s">
        <v>17</v>
      </c>
      <c r="P12" t="s">
        <v>18</v>
      </c>
      <c r="Q12" t="s">
        <v>17</v>
      </c>
      <c r="R12">
        <f t="shared" si="2"/>
        <v>11</v>
      </c>
      <c r="S12" s="4">
        <v>3144194081</v>
      </c>
      <c r="T12">
        <f t="shared" si="2"/>
        <v>11</v>
      </c>
      <c r="W12" s="4">
        <v>3144194081</v>
      </c>
      <c r="X12" t="s">
        <v>37</v>
      </c>
      <c r="Y12">
        <f t="shared" si="1"/>
        <v>11</v>
      </c>
    </row>
    <row r="13" spans="1:25" x14ac:dyDescent="0.25">
      <c r="B13" t="s">
        <v>11</v>
      </c>
      <c r="C13" t="s">
        <v>30</v>
      </c>
      <c r="D13" t="s">
        <v>8</v>
      </c>
      <c r="E13" t="s">
        <v>31</v>
      </c>
      <c r="F13" t="s">
        <v>16</v>
      </c>
      <c r="G13" s="1" t="s">
        <v>13</v>
      </c>
      <c r="H13" s="2" t="s">
        <v>6</v>
      </c>
      <c r="I13" t="str">
        <f t="shared" si="0"/>
        <v>"Estimado(a)Maye Recuerde que tiene cita de Pediatria  24 de enero de 2023 8:30 AM Recuerde llegar 40 minutos antes para facturar, responde si o no, confirmando la asistencia",</v>
      </c>
      <c r="J13" t="str">
        <f>CONCATENATE(O13,N13,Tabla3[[#This Row],[Numero]],Q13,P13)</f>
        <v>"573208843182",</v>
      </c>
      <c r="K13">
        <v>3208843182</v>
      </c>
      <c r="N13">
        <v>57</v>
      </c>
      <c r="O13" t="s">
        <v>17</v>
      </c>
      <c r="P13" t="s">
        <v>18</v>
      </c>
      <c r="Q13" t="s">
        <v>17</v>
      </c>
      <c r="R13">
        <f t="shared" si="2"/>
        <v>12</v>
      </c>
      <c r="S13" s="5">
        <v>3208843182</v>
      </c>
      <c r="T13">
        <f t="shared" si="2"/>
        <v>12</v>
      </c>
      <c r="W13" s="5">
        <v>3208843182</v>
      </c>
      <c r="X13" t="s">
        <v>37</v>
      </c>
      <c r="Y13">
        <f t="shared" si="1"/>
        <v>12</v>
      </c>
    </row>
    <row r="14" spans="1:25" x14ac:dyDescent="0.25">
      <c r="B14" t="s">
        <v>11</v>
      </c>
      <c r="C14" t="s">
        <v>30</v>
      </c>
      <c r="D14" t="s">
        <v>8</v>
      </c>
      <c r="E14" t="s">
        <v>32</v>
      </c>
      <c r="F14" t="s">
        <v>16</v>
      </c>
      <c r="G14" s="1" t="s">
        <v>13</v>
      </c>
      <c r="H14" s="2" t="s">
        <v>6</v>
      </c>
      <c r="I14" t="str">
        <f t="shared" si="0"/>
        <v>"Estimado(a)Paola Recuerde que tiene cita de Pediatria  24 de enero de 2023 8:30 AM Recuerde llegar 40 minutos antes para facturar, responde si o no, confirmando la asistencia",</v>
      </c>
      <c r="J14" t="str">
        <f>CONCATENATE(O14,N14,Tabla3[[#This Row],[Numero]],Q14,P14)</f>
        <v>"573103255369",</v>
      </c>
      <c r="K14">
        <v>3103255369</v>
      </c>
      <c r="N14">
        <v>57</v>
      </c>
      <c r="O14" t="s">
        <v>17</v>
      </c>
      <c r="P14" t="s">
        <v>18</v>
      </c>
      <c r="Q14" t="s">
        <v>17</v>
      </c>
      <c r="R14">
        <f t="shared" si="2"/>
        <v>13</v>
      </c>
      <c r="S14" s="4">
        <v>3103255369</v>
      </c>
      <c r="T14">
        <f t="shared" si="2"/>
        <v>13</v>
      </c>
      <c r="W14" s="4">
        <v>3103255369</v>
      </c>
      <c r="X14" t="s">
        <v>37</v>
      </c>
      <c r="Y14">
        <f t="shared" si="1"/>
        <v>13</v>
      </c>
    </row>
    <row r="15" spans="1:25" x14ac:dyDescent="0.25">
      <c r="B15" t="s">
        <v>11</v>
      </c>
      <c r="C15" t="s">
        <v>30</v>
      </c>
      <c r="D15" t="s">
        <v>8</v>
      </c>
      <c r="E15" t="s">
        <v>33</v>
      </c>
      <c r="F15" t="s">
        <v>16</v>
      </c>
      <c r="G15" s="1" t="s">
        <v>13</v>
      </c>
      <c r="H15" s="2" t="s">
        <v>6</v>
      </c>
      <c r="I15" t="str">
        <f t="shared" si="0"/>
        <v>"Estimado(a)Anderson Recuerde que tiene cita de Pediatria  24 de enero de 2023 8:30 AM Recuerde llegar 40 minutos antes para facturar, responde si o no, confirmando la asistencia",</v>
      </c>
      <c r="J15" t="str">
        <f>CONCATENATE(O15,N15,Tabla3[[#This Row],[Numero]],Q15,P15)</f>
        <v>"573133550684",</v>
      </c>
      <c r="K15">
        <v>3133550684</v>
      </c>
      <c r="N15">
        <v>57</v>
      </c>
      <c r="O15" t="s">
        <v>17</v>
      </c>
      <c r="P15" t="s">
        <v>18</v>
      </c>
      <c r="Q15" t="s">
        <v>17</v>
      </c>
      <c r="R15">
        <f t="shared" si="2"/>
        <v>14</v>
      </c>
      <c r="S15" s="5">
        <v>3133550684</v>
      </c>
      <c r="T15">
        <f t="shared" si="2"/>
        <v>14</v>
      </c>
      <c r="W15" s="5">
        <v>3133550684</v>
      </c>
      <c r="X15" t="s">
        <v>37</v>
      </c>
      <c r="Y15">
        <f t="shared" si="1"/>
        <v>14</v>
      </c>
    </row>
    <row r="16" spans="1:25" x14ac:dyDescent="0.25">
      <c r="B16" t="s">
        <v>11</v>
      </c>
      <c r="C16" t="s">
        <v>30</v>
      </c>
      <c r="D16" t="s">
        <v>8</v>
      </c>
      <c r="E16" t="s">
        <v>34</v>
      </c>
      <c r="F16" t="s">
        <v>16</v>
      </c>
      <c r="G16" s="1" t="s">
        <v>13</v>
      </c>
      <c r="H16" s="2" t="s">
        <v>6</v>
      </c>
      <c r="I16" t="str">
        <f t="shared" si="0"/>
        <v>"Estimado(a)Alfredo Recuerde que tiene cita de Pediatria  24 de enero de 2023 8:30 AM Recuerde llegar 40 minutos antes para facturar, responde si o no, confirmando la asistencia",</v>
      </c>
      <c r="J16" t="str">
        <f>CONCATENATE(O16,N16,Tabla3[[#This Row],[Numero]],Q16,P16)</f>
        <v>"573112489506",</v>
      </c>
      <c r="K16">
        <v>3112489506</v>
      </c>
      <c r="N16">
        <v>57</v>
      </c>
      <c r="O16" t="s">
        <v>17</v>
      </c>
      <c r="P16" t="s">
        <v>18</v>
      </c>
      <c r="Q16" t="s">
        <v>17</v>
      </c>
      <c r="R16">
        <f t="shared" si="2"/>
        <v>15</v>
      </c>
      <c r="S16" s="4">
        <v>3112489506</v>
      </c>
      <c r="T16">
        <f t="shared" si="2"/>
        <v>15</v>
      </c>
      <c r="W16" s="4">
        <v>3112489506</v>
      </c>
      <c r="X16" t="s">
        <v>37</v>
      </c>
      <c r="Y16">
        <f t="shared" si="1"/>
        <v>15</v>
      </c>
    </row>
    <row r="17" spans="2:25" x14ac:dyDescent="0.25">
      <c r="B17" t="s">
        <v>11</v>
      </c>
      <c r="C17" t="s">
        <v>30</v>
      </c>
      <c r="D17" t="s">
        <v>8</v>
      </c>
      <c r="E17" t="s">
        <v>35</v>
      </c>
      <c r="F17" t="s">
        <v>16</v>
      </c>
      <c r="G17" s="1" t="s">
        <v>13</v>
      </c>
      <c r="H17" s="2" t="s">
        <v>6</v>
      </c>
      <c r="I17" t="str">
        <f t="shared" si="0"/>
        <v>"Estimado(a)Eugenia Recuerde que tiene cita de Pediatria  24 de enero de 2023 8:30 AM Recuerde llegar 40 minutos antes para facturar, responde si o no, confirmando la asistencia",</v>
      </c>
      <c r="J17" t="str">
        <f>CONCATENATE(O17,N17,Tabla3[[#This Row],[Numero]],Q17,P17)</f>
        <v>"573112241746",</v>
      </c>
      <c r="K17">
        <v>3112241746</v>
      </c>
      <c r="N17">
        <v>57</v>
      </c>
      <c r="O17" t="s">
        <v>17</v>
      </c>
      <c r="P17" t="s">
        <v>18</v>
      </c>
      <c r="Q17" t="s">
        <v>17</v>
      </c>
      <c r="R17">
        <f t="shared" si="2"/>
        <v>16</v>
      </c>
      <c r="S17" s="5">
        <v>3112241746</v>
      </c>
      <c r="T17">
        <f t="shared" si="2"/>
        <v>16</v>
      </c>
      <c r="W17" s="5">
        <v>3112241746</v>
      </c>
      <c r="X17" t="s">
        <v>37</v>
      </c>
      <c r="Y17">
        <f t="shared" si="1"/>
        <v>16</v>
      </c>
    </row>
    <row r="18" spans="2:25" x14ac:dyDescent="0.25">
      <c r="G18" s="3"/>
      <c r="H18" s="2"/>
      <c r="I18" t="str">
        <f t="shared" si="0"/>
        <v>"",</v>
      </c>
      <c r="J18" t="str">
        <f>CONCATENATE(O18,N18,Tabla3[[#This Row],[Numero]],Q18,P18)</f>
        <v>"57",</v>
      </c>
      <c r="N18">
        <v>57</v>
      </c>
      <c r="O18" t="s">
        <v>17</v>
      </c>
      <c r="P18" t="s">
        <v>18</v>
      </c>
      <c r="Q18" t="s">
        <v>17</v>
      </c>
      <c r="Y18" t="str">
        <f>+IF(X18=0,"Vacio",X18)</f>
        <v>Vacio</v>
      </c>
    </row>
    <row r="19" spans="2:25" x14ac:dyDescent="0.25">
      <c r="G19" s="3"/>
      <c r="H19" s="2"/>
      <c r="I19" t="str">
        <f t="shared" si="0"/>
        <v>"",</v>
      </c>
      <c r="J19" t="str">
        <f>CONCATENATE(O19,N19,Tabla3[[#This Row],[Numero]],Q19,P19)</f>
        <v>"57",</v>
      </c>
      <c r="N19">
        <v>57</v>
      </c>
      <c r="O19" t="s">
        <v>17</v>
      </c>
      <c r="P19" t="s">
        <v>18</v>
      </c>
      <c r="Q19" t="s">
        <v>17</v>
      </c>
      <c r="X19" s="7" t="s">
        <v>37</v>
      </c>
    </row>
    <row r="20" spans="2:25" x14ac:dyDescent="0.25">
      <c r="G20" s="3"/>
      <c r="H20" s="2"/>
      <c r="I20" t="str">
        <f t="shared" si="0"/>
        <v>"",</v>
      </c>
      <c r="J20" t="str">
        <f>CONCATENATE(O20,N20,Tabla3[[#This Row],[Numero]],Q20,P20)</f>
        <v>"57",</v>
      </c>
      <c r="N20">
        <v>57</v>
      </c>
      <c r="O20" t="s">
        <v>17</v>
      </c>
      <c r="P20" t="s">
        <v>18</v>
      </c>
      <c r="Q20" t="s">
        <v>17</v>
      </c>
    </row>
    <row r="21" spans="2:25" x14ac:dyDescent="0.25">
      <c r="G21" s="3"/>
      <c r="H21" s="2"/>
      <c r="I21" t="str">
        <f t="shared" si="0"/>
        <v>"",</v>
      </c>
      <c r="J21" t="str">
        <f>CONCATENATE(O21,N21,Tabla3[[#This Row],[Numero]],Q21,P21)</f>
        <v>"57",</v>
      </c>
      <c r="N21">
        <v>57</v>
      </c>
      <c r="O21" t="s">
        <v>17</v>
      </c>
      <c r="P21" t="s">
        <v>18</v>
      </c>
      <c r="Q21" t="s">
        <v>17</v>
      </c>
    </row>
    <row r="22" spans="2:25" x14ac:dyDescent="0.25">
      <c r="G22" s="3"/>
      <c r="H22" s="2"/>
      <c r="I22" t="str">
        <f t="shared" si="0"/>
        <v>"",</v>
      </c>
      <c r="J22" t="str">
        <f>CONCATENATE(O22,N22,Tabla3[[#This Row],[Numero]],Q22,P22)</f>
        <v>"57",</v>
      </c>
      <c r="N22">
        <v>57</v>
      </c>
      <c r="O22" t="s">
        <v>17</v>
      </c>
      <c r="P22" t="s">
        <v>18</v>
      </c>
      <c r="Q22" t="s">
        <v>17</v>
      </c>
    </row>
    <row r="23" spans="2:25" x14ac:dyDescent="0.25">
      <c r="G23" s="3"/>
      <c r="H23" s="2"/>
      <c r="I23" t="str">
        <f t="shared" ref="I23:I30" si="3">CONCATENATE(O23,D23,E23,B23,H23,F23,G23,C23,Q23,P23)</f>
        <v>"",</v>
      </c>
      <c r="J23" t="str">
        <f>CONCATENATE(O23,N23,Tabla3[[#This Row],[Numero]],Q23,P23)</f>
        <v>"57",</v>
      </c>
      <c r="N23">
        <v>57</v>
      </c>
      <c r="O23" t="s">
        <v>17</v>
      </c>
      <c r="P23" t="s">
        <v>18</v>
      </c>
      <c r="Q23" t="s">
        <v>17</v>
      </c>
    </row>
    <row r="24" spans="2:25" x14ac:dyDescent="0.25">
      <c r="G24" s="3"/>
      <c r="H24" s="2"/>
      <c r="I24" t="str">
        <f t="shared" si="3"/>
        <v>"",</v>
      </c>
      <c r="J24" t="str">
        <f>CONCATENATE(O24,N24,Tabla3[[#This Row],[Numero]],Q24,P24)</f>
        <v>"57",</v>
      </c>
      <c r="N24">
        <v>57</v>
      </c>
      <c r="O24" t="s">
        <v>17</v>
      </c>
      <c r="P24" t="s">
        <v>18</v>
      </c>
      <c r="Q24" t="s">
        <v>17</v>
      </c>
    </row>
    <row r="25" spans="2:25" x14ac:dyDescent="0.25">
      <c r="G25" s="3"/>
      <c r="H25" s="2"/>
      <c r="I25" t="str">
        <f t="shared" si="3"/>
        <v>"",</v>
      </c>
      <c r="J25" t="str">
        <f>CONCATENATE(O25,N25,Tabla3[[#This Row],[Numero]],Q25,P25)</f>
        <v>"57",</v>
      </c>
      <c r="N25">
        <v>57</v>
      </c>
      <c r="O25" t="s">
        <v>17</v>
      </c>
      <c r="P25" t="s">
        <v>18</v>
      </c>
      <c r="Q25" t="s">
        <v>17</v>
      </c>
    </row>
    <row r="26" spans="2:25" x14ac:dyDescent="0.25">
      <c r="G26" s="3"/>
      <c r="H26" s="2"/>
      <c r="I26" t="str">
        <f t="shared" si="3"/>
        <v>"",</v>
      </c>
      <c r="J26" t="str">
        <f>CONCATENATE(O26,N26,Tabla3[[#This Row],[Numero]],Q26,P26)</f>
        <v>"57",</v>
      </c>
      <c r="N26">
        <v>57</v>
      </c>
      <c r="O26" t="s">
        <v>17</v>
      </c>
      <c r="P26" t="s">
        <v>18</v>
      </c>
      <c r="Q26" t="s">
        <v>17</v>
      </c>
    </row>
    <row r="27" spans="2:25" x14ac:dyDescent="0.25">
      <c r="G27" s="3"/>
      <c r="H27" s="2"/>
      <c r="I27" t="str">
        <f t="shared" si="3"/>
        <v>"",</v>
      </c>
      <c r="J27" t="str">
        <f>CONCATENATE(O27,N27,Tabla3[[#This Row],[Numero]],Q27,P27)</f>
        <v>"57",</v>
      </c>
      <c r="N27">
        <v>57</v>
      </c>
      <c r="O27" t="s">
        <v>17</v>
      </c>
      <c r="P27" t="s">
        <v>18</v>
      </c>
      <c r="Q27" t="s">
        <v>17</v>
      </c>
    </row>
    <row r="28" spans="2:25" x14ac:dyDescent="0.25">
      <c r="G28" s="3"/>
      <c r="H28" s="2"/>
      <c r="I28" t="str">
        <f t="shared" si="3"/>
        <v/>
      </c>
      <c r="J28" t="str">
        <f>CONCATENATE(O28,N28,Tabla3[[#This Row],[Numero]],Q28,P28)</f>
        <v/>
      </c>
    </row>
    <row r="29" spans="2:25" x14ac:dyDescent="0.25">
      <c r="G29" s="3"/>
      <c r="H29" s="2"/>
      <c r="I29" t="str">
        <f t="shared" si="3"/>
        <v/>
      </c>
      <c r="J29" t="str">
        <f>CONCATENATE(O29,N29,Tabla3[[#This Row],[Numero]],Q29,P29)</f>
        <v/>
      </c>
    </row>
    <row r="30" spans="2:25" x14ac:dyDescent="0.25">
      <c r="G30" s="3"/>
      <c r="H30" s="2"/>
      <c r="I30" t="str">
        <f t="shared" si="3"/>
        <v/>
      </c>
      <c r="J30" t="str">
        <f>CONCATENATE(O30,N30,Tabla3[[#This Row],[Numero]],Q30,P30)</f>
        <v/>
      </c>
    </row>
  </sheetData>
  <mergeCells count="1">
    <mergeCell ref="M2:M5"/>
  </mergeCells>
  <phoneticPr fontId="1" type="noConversion"/>
  <conditionalFormatting sqref="X1:X1048576">
    <cfRule type="cellIs" dxfId="0" priority="1" operator="equal">
      <formula>"no"</formula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Alba Fims</dc:creator>
  <cp:lastModifiedBy>Alba Fims</cp:lastModifiedBy>
  <dcterms:created xsi:type="dcterms:W3CDTF">2023-01-21T12:52:01Z</dcterms:created>
  <dcterms:modified xsi:type="dcterms:W3CDTF">2023-01-25T12:53:34Z</dcterms:modified>
</cp:coreProperties>
</file>